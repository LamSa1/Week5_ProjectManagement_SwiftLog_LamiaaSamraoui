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RACI Matrix" sheetId="2" state="visible" r:id="rId4"/>
    <sheet name="Issue Log" sheetId="3" state="visible" r:id="rId5"/>
    <sheet name="Assumption Log" sheetId="4" state="visible" r:id="rId6"/>
    <sheet name="Dependency Log" sheetId="5" state="visible" r:id="rId7"/>
    <sheet name="Change Log" sheetId="6" state="visible" r:id="rId8"/>
    <sheet name="Product Backlog" sheetId="7" state="visible" r:id="rId9"/>
    <sheet name="Stakeholder Register" sheetId="8" state="visible" r:id="rId10"/>
    <sheet name="Resource Allocation" sheetId="9" state="visible" r:id="rId11"/>
    <sheet name="Change Request Form" sheetId="10" state="visible" r:id="rId12"/>
    <sheet name="Lessons Learned" sheetId="11" state="visible" r:id="rId13"/>
    <sheet name="Decision Log" sheetId="12" state="visible" r:id="rId14"/>
    <sheet name="Sprint Templates" sheetId="13" state="visible" r:id="rId15"/>
    <sheet name="Quality &amp; Closure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<sst xmlns="http://schemas.openxmlformats.org/spreadsheetml/2006/main" count="460" uniqueCount="278">
  <si>
    <t xml:space="preserve">Risk ID</t>
  </si>
  <si>
    <t xml:space="preserve">Risk Description</t>
  </si>
  <si>
    <t xml:space="preserve">Probability</t>
  </si>
  <si>
    <t xml:space="preserve">Impact</t>
  </si>
  <si>
    <t xml:space="preserve">Score</t>
  </si>
  <si>
    <t xml:space="preserve">Response Strategy</t>
  </si>
  <si>
    <t xml:space="preserve">Owner</t>
  </si>
  <si>
    <t xml:space="preserve">R1</t>
  </si>
  <si>
    <t xml:space="preserve">Ibadan Deficit: 26.2% of demand with 0 local hubs</t>
  </si>
  <si>
    <t xml:space="preserve">High</t>
  </si>
  <si>
    <t xml:space="preserve">Commission a hub feasibility study</t>
  </si>
  <si>
    <t xml:space="preserve">PM</t>
  </si>
  <si>
    <t xml:space="preserve">R2</t>
  </si>
  <si>
    <t xml:space="preserve">Revenue Conflict: $19.1M gross (DA) vs $14.44M confirmed (DS)</t>
  </si>
  <si>
    <t xml:space="preserve">Medium</t>
  </si>
  <si>
    <t xml:space="preserve">Standardize KPI definitions; label Gross vs Confirmed</t>
  </si>
  <si>
    <t xml:space="preserve">R3</t>
  </si>
  <si>
    <t xml:space="preserve">Cancelled Order Shipments: 1,626 shipments on cancelled orders</t>
  </si>
  <si>
    <t xml:space="preserve">Add dashboard disclaimers; flag for data governance</t>
  </si>
  <si>
    <t xml:space="preserve">DA Lead</t>
  </si>
  <si>
    <t xml:space="preserve">R4</t>
  </si>
  <si>
    <t xml:space="preserve">Supplier Data Gap: no foreign key linking suppliers to shipments</t>
  </si>
  <si>
    <t xml:space="preserve">Formally exclude from scope; recommend data fix</t>
  </si>
  <si>
    <t xml:space="preserve">R5</t>
  </si>
  <si>
    <t xml:space="preserve">ML Target Misalignment: delay AUC 0.52 vs forecast R² 0.9650</t>
  </si>
  <si>
    <t xml:space="preserve">Realign ML targets with business questions</t>
  </si>
  <si>
    <t xml:space="preserve">ML Lead</t>
  </si>
  <si>
    <t xml:space="preserve">R6</t>
  </si>
  <si>
    <t xml:space="preserve">Warehouse Capacity Missing: no capacity field</t>
  </si>
  <si>
    <t xml:space="preserve">Use stock levels as a proxy</t>
  </si>
  <si>
    <t xml:space="preserve">R7</t>
  </si>
  <si>
    <t xml:space="preserve">Revenue Basis: list price ignores discounts and tax</t>
  </si>
  <si>
    <t xml:space="preserve">Label all revenue as indicative</t>
  </si>
  <si>
    <t xml:space="preserve">R8</t>
  </si>
  <si>
    <t xml:space="preserve">Return Rates Approximate: returns link to orders not products</t>
  </si>
  <si>
    <t xml:space="preserve">Low</t>
  </si>
  <si>
    <t xml:space="preserve">Add footnotes to return visuals</t>
  </si>
  <si>
    <t xml:space="preserve">R9</t>
  </si>
  <si>
    <t xml:space="preserve">Synthetic Data Limits: models trained on synthetic baselines</t>
  </si>
  <si>
    <t xml:space="preserve">Present models as baselines not production-ready</t>
  </si>
  <si>
    <t xml:space="preserve">R10</t>
  </si>
  <si>
    <t xml:space="preserve">Integration Delays: cross-track dependencies cause bottlenecks</t>
  </si>
  <si>
    <t xml:space="preserve">Weekly syncs and clear escalation paths</t>
  </si>
  <si>
    <t xml:space="preserve">Score = Probability x Impact (Low=1, Medium=2, High=3). Owners are proposed by role.</t>
  </si>
  <si>
    <t xml:space="preserve">Task</t>
  </si>
  <si>
    <t xml:space="preserve">PM (Lamiaa)</t>
  </si>
  <si>
    <t xml:space="preserve">DS Lead</t>
  </si>
  <si>
    <t xml:space="preserve">GenAI Lead</t>
  </si>
  <si>
    <t xml:space="preserve">Sponsor</t>
  </si>
  <si>
    <t xml:space="preserve">Data Cleaning</t>
  </si>
  <si>
    <t xml:space="preserve">I</t>
  </si>
  <si>
    <t xml:space="preserve">R</t>
  </si>
  <si>
    <t xml:space="preserve">A/R</t>
  </si>
  <si>
    <t xml:space="preserve">Dashboard Build</t>
  </si>
  <si>
    <t xml:space="preserve">C</t>
  </si>
  <si>
    <t xml:space="preserve">Model Training</t>
  </si>
  <si>
    <t xml:space="preserve">RAG Assistant</t>
  </si>
  <si>
    <t xml:space="preserve">QA &amp; Testing</t>
  </si>
  <si>
    <t xml:space="preserve">A</t>
  </si>
  <si>
    <t xml:space="preserve">Final Report</t>
  </si>
  <si>
    <t xml:space="preserve">R = Responsible, A = Accountable, C = Consulted, I = Informed.</t>
  </si>
  <si>
    <t xml:space="preserve">Issue ID</t>
  </si>
  <si>
    <t xml:space="preserve">Description</t>
  </si>
  <si>
    <t xml:space="preserve">Priority</t>
  </si>
  <si>
    <t xml:space="preserve">Status</t>
  </si>
  <si>
    <t xml:space="preserve">Resolution</t>
  </si>
  <si>
    <t xml:space="preserve">I1</t>
  </si>
  <si>
    <t xml:space="preserve">1,626 shipments attached to cancelled orders (data integrity)</t>
  </si>
  <si>
    <t xml:space="preserve">Closed</t>
  </si>
  <si>
    <t xml:space="preserve">Dashboard disclaimer added; flagged for data governance</t>
  </si>
  <si>
    <t xml:space="preserve">I2</t>
  </si>
  <si>
    <t xml:space="preserve">Revenue discrepancy: $19.1M gross (DA) vs $14.44M confirmed (DS)</t>
  </si>
  <si>
    <t xml:space="preserve">Standard definitions published: Gross vs Confirmed</t>
  </si>
  <si>
    <t xml:space="preserve">I3</t>
  </si>
  <si>
    <t xml:space="preserve">No supplier foreign key and no warehouse capacity field</t>
  </si>
  <si>
    <t xml:space="preserve">Both analyses excluded from scope via change request</t>
  </si>
  <si>
    <t xml:space="preserve">I4</t>
  </si>
  <si>
    <t xml:space="preserve">Delay classifier weak (AUC 0.52)</t>
  </si>
  <si>
    <t xml:space="preserve">Open</t>
  </si>
  <si>
    <t xml:space="preserve">Present as baseline; realign target before operational use</t>
  </si>
  <si>
    <t xml:space="preserve">ID</t>
  </si>
  <si>
    <t xml:space="preserve">Assumption</t>
  </si>
  <si>
    <t xml:space="preserve">Validation Status</t>
  </si>
  <si>
    <t xml:space="preserve">A1</t>
  </si>
  <si>
    <t xml:space="preserve">LineRevenue = Quantity x UnitPrice (list price with no discounts or taxes)</t>
  </si>
  <si>
    <t xml:space="preserve">Accepted</t>
  </si>
  <si>
    <t xml:space="preserve">A2</t>
  </si>
  <si>
    <t xml:space="preserve">Delayed = 3-7 days</t>
  </si>
  <si>
    <t xml:space="preserve">A3</t>
  </si>
  <si>
    <t xml:space="preserve">Band thresholds (150/350) are acceptable</t>
  </si>
  <si>
    <t xml:space="preserve">To Confirm</t>
  </si>
  <si>
    <t xml:space="preserve">A4</t>
  </si>
  <si>
    <t xml:space="preserve">Datasets are structurally sound aside from logged issues</t>
  </si>
  <si>
    <t xml:space="preserve">A5</t>
  </si>
  <si>
    <t xml:space="preserve">Order-level return rates are an adequate approximation</t>
  </si>
  <si>
    <t xml:space="preserve">Dependency</t>
  </si>
  <si>
    <t xml:space="preserve">From</t>
  </si>
  <si>
    <t xml:space="preserve">To</t>
  </si>
  <si>
    <t xml:space="preserve">D1</t>
  </si>
  <si>
    <t xml:space="preserve">Cleaned data</t>
  </si>
  <si>
    <t xml:space="preserve">DS</t>
  </si>
  <si>
    <t xml:space="preserve">DA, ML</t>
  </si>
  <si>
    <t xml:space="preserve">Delivered</t>
  </si>
  <si>
    <t xml:space="preserve">D2</t>
  </si>
  <si>
    <t xml:space="preserve">38-variable feature matrix</t>
  </si>
  <si>
    <t xml:space="preserve">ML</t>
  </si>
  <si>
    <t xml:space="preserve">D3</t>
  </si>
  <si>
    <t xml:space="preserve">Trained ML models</t>
  </si>
  <si>
    <t xml:space="preserve">GenAI</t>
  </si>
  <si>
    <t xml:space="preserve">D4</t>
  </si>
  <si>
    <t xml:space="preserve">Approval of scope exclusions</t>
  </si>
  <si>
    <t xml:space="preserve">Change ID</t>
  </si>
  <si>
    <t xml:space="preserve">Requestor</t>
  </si>
  <si>
    <t xml:space="preserve">Approved By</t>
  </si>
  <si>
    <t xml:space="preserve">C1</t>
  </si>
  <si>
    <t xml:space="preserve">Exclude supplier scoring (no supplier foreign key)</t>
  </si>
  <si>
    <t xml:space="preserve">Approved</t>
  </si>
  <si>
    <t xml:space="preserve">C2</t>
  </si>
  <si>
    <t xml:space="preserve">Exclude warehouse capacity utilisation (no capacity field)</t>
  </si>
  <si>
    <t xml:space="preserve">C3</t>
  </si>
  <si>
    <t xml:space="preserve">Add Ibadan Deficit to Risk Register</t>
  </si>
  <si>
    <t xml:space="preserve">Story ID</t>
  </si>
  <si>
    <t xml:space="preserve">User Story</t>
  </si>
  <si>
    <t xml:space="preserve">Sprint</t>
  </si>
  <si>
    <t xml:space="preserve">US1</t>
  </si>
  <si>
    <t xml:space="preserve">As a DA I want 11 tables cleaned so dashboards are reliable</t>
  </si>
  <si>
    <t xml:space="preserve">Done</t>
  </si>
  <si>
    <t xml:space="preserve">US2</t>
  </si>
  <si>
    <t xml:space="preserve">As a manager I want a dashboard of revenue and delays so I can act on delivery performance</t>
  </si>
  <si>
    <t xml:space="preserve">US3</t>
  </si>
  <si>
    <t xml:space="preserve">As an ML lead I want a 38-variable feature matrix so I can train models</t>
  </si>
  <si>
    <t xml:space="preserve">US4</t>
  </si>
  <si>
    <t xml:space="preserve">As a manager I want a demand forecaster so I can plan stock</t>
  </si>
  <si>
    <t xml:space="preserve">US5</t>
  </si>
  <si>
    <t xml:space="preserve">As an ops user I want a delay classifier so risky shipments are flagged</t>
  </si>
  <si>
    <t xml:space="preserve">US6</t>
  </si>
  <si>
    <t xml:space="preserve">As an ops user I want a grounded RAG assistant so I can query logistics data</t>
  </si>
  <si>
    <t xml:space="preserve">US7</t>
  </si>
  <si>
    <t xml:space="preserve">As a manager I want three automated workflows (Daily Briefing / Delay Scanner / Auto-Restock) so reporting is automatic</t>
  </si>
  <si>
    <t xml:space="preserve">US8</t>
  </si>
  <si>
    <t xml:space="preserve">As a PM I want 24/24 Pytests passing so delivery is safe</t>
  </si>
  <si>
    <t xml:space="preserve">Sprint 1 (Days 1-2) = Data Prep, Sprint 2 (Days 3-4) = Analytics &amp; Features, Sprint 3 (Days 5-6) = ML &amp; GenAI Deployment, Sprint 4 (Day 7) = QA &amp; Reporting.</t>
  </si>
  <si>
    <t xml:space="preserve">Name</t>
  </si>
  <si>
    <t xml:space="preserve">Role</t>
  </si>
  <si>
    <t xml:space="preserve">Interest</t>
  </si>
  <si>
    <t xml:space="preserve">Power</t>
  </si>
  <si>
    <t xml:space="preserve">Engagement Strategy</t>
  </si>
  <si>
    <t xml:space="preserve">SwiftLog Management</t>
  </si>
  <si>
    <t xml:space="preserve">Client</t>
  </si>
  <si>
    <t xml:space="preserve">Manage closely: weekly executive summaries and final presentation</t>
  </si>
  <si>
    <t xml:space="preserve">AnalystLab Africa</t>
  </si>
  <si>
    <t xml:space="preserve">Manage closely: weekly update; approves scope exclusions</t>
  </si>
  <si>
    <t xml:space="preserve">Data Analytics track</t>
  </si>
  <si>
    <t xml:space="preserve">Keep informed: daily Slack stand-ups and dependency log</t>
  </si>
  <si>
    <t xml:space="preserve">Data Science track</t>
  </si>
  <si>
    <t xml:space="preserve">Machine Learning track</t>
  </si>
  <si>
    <t xml:space="preserve">GenAI track</t>
  </si>
  <si>
    <t xml:space="preserve">Resource</t>
  </si>
  <si>
    <t xml:space="preserve">Phase 1: Data (Days 1-2)</t>
  </si>
  <si>
    <t xml:space="preserve">Phase 2: Analytics (Days 3-4)</t>
  </si>
  <si>
    <t xml:space="preserve">Phase 3: ML/GenAI (Days 5-6)</t>
  </si>
  <si>
    <t xml:space="preserve">Phase 4: QA &amp; Report (Day 7)</t>
  </si>
  <si>
    <t xml:space="preserve">Lamiaa S. (PM)</t>
  </si>
  <si>
    <t xml:space="preserve">Project Manager</t>
  </si>
  <si>
    <t xml:space="preserve">100%</t>
  </si>
  <si>
    <t xml:space="preserve">Franklin (DA)</t>
  </si>
  <si>
    <t xml:space="preserve">Data Analytics Lead</t>
  </si>
  <si>
    <t xml:space="preserve">Uno / Victoria (DS)</t>
  </si>
  <si>
    <t xml:space="preserve">Data Science Lead</t>
  </si>
  <si>
    <t xml:space="preserve">Yassine / Zaid (ML)</t>
  </si>
  <si>
    <t xml:space="preserve">Machine Learning Lead</t>
  </si>
  <si>
    <t xml:space="preserve">Dorsin (GenAI)</t>
  </si>
  <si>
    <t xml:space="preserve">0%</t>
  </si>
  <si>
    <t xml:space="preserve">50%</t>
  </si>
  <si>
    <t xml:space="preserve">Total hours = 200 (1 week x 40 hours x 5 interns).</t>
  </si>
  <si>
    <t xml:space="preserve">Field</t>
  </si>
  <si>
    <t xml:space="preserve">Entry</t>
  </si>
  <si>
    <t xml:space="preserve">Change Request ID</t>
  </si>
  <si>
    <t xml:space="preserve">CR-001</t>
  </si>
  <si>
    <t xml:space="preserve">Date Requested</t>
  </si>
  <si>
    <t xml:space="preserve">[To Confirm]</t>
  </si>
  <si>
    <t xml:space="preserve">Requested By</t>
  </si>
  <si>
    <t xml:space="preserve">Lamiaa Samraoui, Project Manager</t>
  </si>
  <si>
    <t xml:space="preserve">Description of Change</t>
  </si>
  <si>
    <t xml:space="preserve">Exclude Supplier Performance Scoring from project scope</t>
  </si>
  <si>
    <t xml:space="preserve">Reason for Change</t>
  </si>
  <si>
    <t xml:space="preserve">Data lacks a foreign key linking suppliers to products or shipments, so scoring cannot be calculated reliably</t>
  </si>
  <si>
    <t xml:space="preserve">Impact Analysis</t>
  </si>
  <si>
    <t xml:space="preserve">Scope: supplier scoring removed from deliverables. Schedule: no impact. Budget: no impact ($0 tooling). Quality: prevents inaccurate supplier reporting. Follow-up: add SupplierID to data collection (Recommendations 2 and 7).</t>
  </si>
  <si>
    <t xml:space="preserve">Decision</t>
  </si>
  <si>
    <t xml:space="preserve">AnalystLab Africa Programme Director (Sponsor)</t>
  </si>
  <si>
    <t xml:space="preserve">Date Approved</t>
  </si>
  <si>
    <t xml:space="preserve">Warehouse capacity utilisation was excluded the same way (Change Log C2): no capacity field exists.</t>
  </si>
  <si>
    <t xml:space="preserve">Lesson Learned</t>
  </si>
  <si>
    <t xml:space="preserve">Category</t>
  </si>
  <si>
    <t xml:space="preserve">Recommendation for Future</t>
  </si>
  <si>
    <t xml:space="preserve">LL1</t>
  </si>
  <si>
    <t xml:space="preserve">Revenue definitions differed between tracks: DA reported $19.1M gross while DS reported $14.44M confirmed</t>
  </si>
  <si>
    <t xml:space="preserve">Requirements / KPI definition</t>
  </si>
  <si>
    <t xml:space="preserve">Define KPIs such as revenue, and publish one shared definition sheet, before analysis begins</t>
  </si>
  <si>
    <t xml:space="preserve">LL2</t>
  </si>
  <si>
    <t xml:space="preserve">Missing data fields (supplier link, warehouse capacity) were found only during delivery</t>
  </si>
  <si>
    <t xml:space="preserve">Data quality / Scoping</t>
  </si>
  <si>
    <t xml:space="preserve">Audit required data fields against the Data Dictionary at project kickoff</t>
  </si>
  <si>
    <t xml:space="preserve">LL3</t>
  </si>
  <si>
    <t xml:space="preserve">ML target misalignment: delay prediction was weak (AUC 0.52) while demand forecasting was strong (R² 0.9650)</t>
  </si>
  <si>
    <t xml:space="preserve">Technical / ML</t>
  </si>
  <si>
    <t xml:space="preserve">Align ML targets with the business question early and review them at each sprint</t>
  </si>
  <si>
    <t xml:space="preserve">Decision ID</t>
  </si>
  <si>
    <t xml:space="preserve">Date</t>
  </si>
  <si>
    <t xml:space="preserve">Rationale</t>
  </si>
  <si>
    <t xml:space="preserve">Approver</t>
  </si>
  <si>
    <t xml:space="preserve">D-01</t>
  </si>
  <si>
    <t xml:space="preserve">Report revenue as Gross ($19.1M) and Confirmed ($14.44M), clearly labelled</t>
  </si>
  <si>
    <t xml:space="preserve">DA and DS figures differ because 1,626 shipments are attached to cancelled orders; both are valid under their own definitions</t>
  </si>
  <si>
    <t xml:space="preserve">PM (Lamiaa Samraoui)</t>
  </si>
  <si>
    <t xml:space="preserve">D-02</t>
  </si>
  <si>
    <t xml:space="preserve">Exclude supplier performance scoring and warehouse capacity utilisation from scope</t>
  </si>
  <si>
    <t xml:space="preserve">No supplier foreign key and no capacity field exist; analysis would be inaccurate</t>
  </si>
  <si>
    <t xml:space="preserve">Sponsor (AnalystLab Africa)</t>
  </si>
  <si>
    <t xml:space="preserve">Sprint Backlog</t>
  </si>
  <si>
    <t xml:space="preserve">Goal</t>
  </si>
  <si>
    <t xml:space="preserve">Items Included</t>
  </si>
  <si>
    <t xml:space="preserve">Sprint 1 (Days 1-2)</t>
  </si>
  <si>
    <t xml:space="preserve">Data Prep</t>
  </si>
  <si>
    <t xml:space="preserve">Clean 11 tables (36,115 records)</t>
  </si>
  <si>
    <t xml:space="preserve">Sprint 2 (Days 3-4)</t>
  </si>
  <si>
    <t xml:space="preserve">Analytics &amp; Features</t>
  </si>
  <si>
    <t xml:space="preserve">BI dashboards; 38-variable feature matrix</t>
  </si>
  <si>
    <t xml:space="preserve">Sprint 3 (Days 5-6)</t>
  </si>
  <si>
    <t xml:space="preserve">ML &amp; GenAI Deployment</t>
  </si>
  <si>
    <t xml:space="preserve">Demand forecaster; delay classifier; RAG assistant</t>
  </si>
  <si>
    <t xml:space="preserve">Sprint 4 (Day 7)</t>
  </si>
  <si>
    <t xml:space="preserve">QA &amp; Reporting</t>
  </si>
  <si>
    <t xml:space="preserve">24/24 Pytests; PM Final Report; Presentation</t>
  </si>
  <si>
    <t xml:space="preserve">Sprint Review Template (Sprints 3-4)</t>
  </si>
  <si>
    <t xml:space="preserve">Question</t>
  </si>
  <si>
    <t xml:space="preserve">Answer</t>
  </si>
  <si>
    <t xml:space="preserve">Which stories were completed?</t>
  </si>
  <si>
    <t xml:space="preserve">Forecaster, delay classifier, RAG assistant, three workflows, and QA (US4 to US8)</t>
  </si>
  <si>
    <t xml:space="preserve">Were the acceptance criteria met?</t>
  </si>
  <si>
    <t xml:space="preserve">Yes: 24/24 Pytests passing; demand forecaster R² = 0.9650</t>
  </si>
  <si>
    <t xml:space="preserve">What was demonstrated?</t>
  </si>
  <si>
    <t xml:space="preserve">Streamlit delay classifier, RAG Logistics Assistant, Daily Briefing / Delay Scanner / Auto-Restock workflows</t>
  </si>
  <si>
    <t xml:space="preserve">What stakeholder feedback was received?</t>
  </si>
  <si>
    <t xml:space="preserve">What goes into the next backlog?</t>
  </si>
  <si>
    <t xml:space="preserve">Hub feasibility study; KPI definition sheet; ML target realignment</t>
  </si>
  <si>
    <t xml:space="preserve">Sprint Retrospective Template (project-wide)</t>
  </si>
  <si>
    <t xml:space="preserve">What went well?</t>
  </si>
  <si>
    <t xml:space="preserve">Cross-track hand-offs worked: DS cleaned data and features fed DA, ML and GenAI on schedule</t>
  </si>
  <si>
    <t xml:space="preserve">What blocked the team?</t>
  </si>
  <si>
    <t xml:space="preserve">Missing supplier link and capacity field; differing revenue definitions between DA and DS</t>
  </si>
  <si>
    <t xml:space="preserve">What should change next sprint?</t>
  </si>
  <si>
    <t xml:space="preserve">Define KPIs and audit data fields at kickoff; align ML targets with business questions early</t>
  </si>
  <si>
    <t xml:space="preserve">Action owners</t>
  </si>
  <si>
    <t xml:space="preserve">PM for KPI definitions and kickoff audit; ML Lead for target realignment</t>
  </si>
  <si>
    <t xml:space="preserve">Quality Control Checklist</t>
  </si>
  <si>
    <t xml:space="preserve">Check</t>
  </si>
  <si>
    <t xml:space="preserve">Evidence</t>
  </si>
  <si>
    <t xml:space="preserve">Data validated against the Data Dictionary</t>
  </si>
  <si>
    <t xml:space="preserve">Validation by DS and DA tracks</t>
  </si>
  <si>
    <t xml:space="preserve">Known data issues disclosed on dashboards</t>
  </si>
  <si>
    <t xml:space="preserve">Disclaimer for 1,626 shipments on cancelled orders</t>
  </si>
  <si>
    <t xml:space="preserve">Automated tests passing</t>
  </si>
  <si>
    <t xml:space="preserve">Pass</t>
  </si>
  <si>
    <t xml:space="preserve">24/24 Pytests (Appendix D)</t>
  </si>
  <si>
    <t xml:space="preserve">Metrics reconciled or labelled</t>
  </si>
  <si>
    <t xml:space="preserve">Gross $19.1M vs Confirmed $14.44M labelled (Decision D-01)</t>
  </si>
  <si>
    <t xml:space="preserve">Peer review of code</t>
  </si>
  <si>
    <t xml:space="preserve">[To Confirm: review records]</t>
  </si>
  <si>
    <t xml:space="preserve">Project Closure Checklist</t>
  </si>
  <si>
    <t xml:space="preserve">Deliverables complete (dashboards, feature matrix, models, RAG assistant)</t>
  </si>
  <si>
    <t xml:space="preserve">Registers updated (risk, issue, change, decision, lessons learned)</t>
  </si>
  <si>
    <t xml:space="preserve">Repositories published (DA, DS, ML, GenAI)</t>
  </si>
  <si>
    <t xml:space="preserve">Pending: insert links</t>
  </si>
  <si>
    <t xml:space="preserve">PM report submitted</t>
  </si>
  <si>
    <t xml:space="preserve">Pending</t>
  </si>
  <si>
    <t xml:space="preserve">Presentation submitted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</si>
</sst>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1F3A5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B6B6"/>
        </patternFill>
      </fill>
    </dxf>
    <dxf>
      <fill>
        <patternFill>
          <bgColor rgb="FFFCE4A8"/>
        </patternFill>
      </fill>
    </dxf>
    <dxf>
      <fill>
        <patternFill>
          <bgColor rgb="FFC9E7C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9E7C5"/>
      <rgbColor rgb="FFFFFF99"/>
      <rgbColor rgb="FF99CCFF"/>
      <rgbColor rgb="FFF4B6B6"/>
      <rgbColor rgb="FFCC99FF"/>
      <rgbColor rgb="FFFCE4A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8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50"/>
    <col collapsed="false" customWidth="true" hidden="false" outlineLevel="0" max="7" min="7" style="0" width="12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9</v>
      </c>
      <c r="E2" s="3" t="n">
        <f aca="false">IFERROR(MATCH(C2,{"Low","Medium","High"},0)*MATCH(D2,{"Low","Medium","High"},0),"")</f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9</v>
      </c>
      <c r="D3" s="2" t="s">
        <v>14</v>
      </c>
      <c r="E3" s="3" t="n">
        <f aca="false">IFERROR(MATCH(C3,{"Low","Medium","High"},0)*MATCH(D3,{"Low","Medium","High"},0),"")</f>
        <v>6</v>
      </c>
      <c r="F3" s="2" t="s">
        <v>15</v>
      </c>
      <c r="G3" s="2" t="s">
        <v>11</v>
      </c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9</v>
      </c>
      <c r="D4" s="2" t="s">
        <v>9</v>
      </c>
      <c r="E4" s="3" t="n">
        <f aca="false">IFERROR(MATCH(C4,{"Low","Medium","High"},0)*MATCH(D4,{"Low","Medium","High"},0),"")</f>
        <v>9</v>
      </c>
      <c r="F4" s="2" t="s">
        <v>18</v>
      </c>
      <c r="G4" s="2" t="s">
        <v>19</v>
      </c>
    </row>
    <row r="5" customFormat="false" ht="15" hidden="false" customHeight="false" outlineLevel="0" collapsed="false">
      <c r="A5" s="2" t="s">
        <v>20</v>
      </c>
      <c r="B5" s="2" t="s">
        <v>21</v>
      </c>
      <c r="C5" s="2" t="s">
        <v>9</v>
      </c>
      <c r="D5" s="2" t="s">
        <v>9</v>
      </c>
      <c r="E5" s="3" t="n">
        <f aca="false">IFERROR(MATCH(C5,{"Low","Medium","High"},0)*MATCH(D5,{"Low","Medium","High"},0),"")</f>
        <v>9</v>
      </c>
      <c r="F5" s="2" t="s">
        <v>22</v>
      </c>
      <c r="G5" s="2" t="s">
        <v>11</v>
      </c>
    </row>
    <row r="6" customFormat="false" ht="15" hidden="false" customHeight="false" outlineLevel="0" collapsed="false">
      <c r="A6" s="2" t="s">
        <v>23</v>
      </c>
      <c r="B6" s="2" t="s">
        <v>24</v>
      </c>
      <c r="C6" s="2" t="s">
        <v>14</v>
      </c>
      <c r="D6" s="2" t="s">
        <v>14</v>
      </c>
      <c r="E6" s="3" t="n">
        <f aca="false">IFERROR(MATCH(C6,{"Low","Medium","High"},0)*MATCH(D6,{"Low","Medium","High"},0),"")</f>
        <v>4</v>
      </c>
      <c r="F6" s="2" t="s">
        <v>25</v>
      </c>
      <c r="G6" s="2" t="s">
        <v>26</v>
      </c>
    </row>
    <row r="7" customFormat="false" ht="15" hidden="false" customHeight="false" outlineLevel="0" collapsed="false">
      <c r="A7" s="2" t="s">
        <v>27</v>
      </c>
      <c r="B7" s="2" t="s">
        <v>28</v>
      </c>
      <c r="C7" s="2" t="s">
        <v>9</v>
      </c>
      <c r="D7" s="2" t="s">
        <v>14</v>
      </c>
      <c r="E7" s="3" t="n">
        <f aca="false">IFERROR(MATCH(C7,{"Low","Medium","High"},0)*MATCH(D7,{"Low","Medium","High"},0),"")</f>
        <v>6</v>
      </c>
      <c r="F7" s="2" t="s">
        <v>29</v>
      </c>
      <c r="G7" s="2" t="s">
        <v>11</v>
      </c>
    </row>
    <row r="8" customFormat="false" ht="15" hidden="false" customHeight="false" outlineLevel="0" collapsed="false">
      <c r="A8" s="2" t="s">
        <v>30</v>
      </c>
      <c r="B8" s="2" t="s">
        <v>31</v>
      </c>
      <c r="C8" s="2" t="s">
        <v>9</v>
      </c>
      <c r="D8" s="2" t="s">
        <v>14</v>
      </c>
      <c r="E8" s="3" t="n">
        <f aca="false">IFERROR(MATCH(C8,{"Low","Medium","High"},0)*MATCH(D8,{"Low","Medium","High"},0),"")</f>
        <v>6</v>
      </c>
      <c r="F8" s="2" t="s">
        <v>32</v>
      </c>
      <c r="G8" s="2" t="s">
        <v>19</v>
      </c>
    </row>
    <row r="9" customFormat="false" ht="15" hidden="false" customHeight="false" outlineLevel="0" collapsed="false">
      <c r="A9" s="2" t="s">
        <v>33</v>
      </c>
      <c r="B9" s="2" t="s">
        <v>34</v>
      </c>
      <c r="C9" s="2" t="s">
        <v>9</v>
      </c>
      <c r="D9" s="2" t="s">
        <v>35</v>
      </c>
      <c r="E9" s="3" t="n">
        <f aca="false">IFERROR(MATCH(C9,{"Low","Medium","High"},0)*MATCH(D9,{"Low","Medium","High"},0),"")</f>
        <v>3</v>
      </c>
      <c r="F9" s="2" t="s">
        <v>36</v>
      </c>
      <c r="G9" s="2" t="s">
        <v>19</v>
      </c>
    </row>
    <row r="10" customFormat="false" ht="15" hidden="false" customHeight="false" outlineLevel="0" collapsed="false">
      <c r="A10" s="2" t="s">
        <v>37</v>
      </c>
      <c r="B10" s="2" t="s">
        <v>38</v>
      </c>
      <c r="C10" s="2" t="s">
        <v>14</v>
      </c>
      <c r="D10" s="2" t="s">
        <v>9</v>
      </c>
      <c r="E10" s="3" t="n">
        <f aca="false">IFERROR(MATCH(C10,{"Low","Medium","High"},0)*MATCH(D10,{"Low","Medium","High"},0),"")</f>
        <v>6</v>
      </c>
      <c r="F10" s="2" t="s">
        <v>39</v>
      </c>
      <c r="G10" s="2" t="s">
        <v>26</v>
      </c>
    </row>
    <row r="11" customFormat="false" ht="15" hidden="false" customHeight="false" outlineLevel="0" collapsed="false">
      <c r="A11" s="2" t="s">
        <v>40</v>
      </c>
      <c r="B11" s="2" t="s">
        <v>41</v>
      </c>
      <c r="C11" s="2" t="s">
        <v>14</v>
      </c>
      <c r="D11" s="2" t="s">
        <v>14</v>
      </c>
      <c r="E11" s="3" t="n">
        <f aca="false">IFERROR(MATCH(C11,{"Low","Medium","High"},0)*MATCH(D11,{"Low","Medium","High"},0),"")</f>
        <v>4</v>
      </c>
      <c r="F11" s="2" t="s">
        <v>42</v>
      </c>
      <c r="G11" s="2" t="s">
        <v>11</v>
      </c>
    </row>
    <row r="13" customFormat="false" ht="15" hidden="false" customHeight="false" outlineLevel="0" collapsed="false">
      <c r="A13" s="4" t="s">
        <v>43</v>
      </c>
    </row>
  </sheetData>
  <conditionalFormatting sqref="E2:E11">
    <cfRule type="cellIs" priority="2" operator="greaterThanOrEqual" aboveAverage="0" equalAverage="0" bottom="0" percent="0" rank="0" text="" dxfId="0">
      <formula>9</formula>
    </cfRule>
    <cfRule type="cellIs" priority="3" operator="between" aboveAverage="0" equalAverage="0" bottom="0" percent="0" rank="0" text="" dxfId="1">
      <formula>4</formula>
      <formula>8</formula>
    </cfRule>
    <cfRule type="cellIs" priority="4" operator="lessThan" aboveAverage="0" equalAverage="0" bottom="0" percent="0" rank="0" text="" dxfId="2">
      <formula>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3"/>
    <col collapsed="false" customWidth="true" hidden="false" outlineLevel="0" max="7" min="7" style="0" width="12"/>
  </cols>
  <sheetData>
    <row r="1" customFormat="false" ht="24" hidden="false" customHeight="true" outlineLevel="0" collapsed="false">
      <c r="A1" s="1" t="s">
        <v>44</v>
      </c>
      <c r="B1" s="1" t="s">
        <v>45</v>
      </c>
      <c r="C1" s="1" t="s">
        <v>19</v>
      </c>
      <c r="D1" s="1" t="s">
        <v>46</v>
      </c>
      <c r="E1" s="1" t="s">
        <v>26</v>
      </c>
      <c r="F1" s="1" t="s">
        <v>47</v>
      </c>
      <c r="G1" s="1" t="s">
        <v>48</v>
      </c>
    </row>
    <row r="2" customFormat="false" ht="15" hidden="false" customHeight="false" outlineLevel="0" collapsed="false">
      <c r="A2" s="2" t="s">
        <v>49</v>
      </c>
      <c r="B2" s="2" t="s">
        <v>50</v>
      </c>
      <c r="C2" s="2" t="s">
        <v>51</v>
      </c>
      <c r="D2" s="2" t="s">
        <v>52</v>
      </c>
      <c r="E2" s="2" t="s">
        <v>50</v>
      </c>
      <c r="F2" s="2" t="s">
        <v>50</v>
      </c>
      <c r="G2" s="2" t="s">
        <v>50</v>
      </c>
    </row>
    <row r="3" customFormat="false" ht="15" hidden="false" customHeight="false" outlineLevel="0" collapsed="false">
      <c r="A3" s="2" t="s">
        <v>53</v>
      </c>
      <c r="B3" s="2" t="s">
        <v>50</v>
      </c>
      <c r="C3" s="2" t="s">
        <v>52</v>
      </c>
      <c r="D3" s="2" t="s">
        <v>54</v>
      </c>
      <c r="E3" s="2" t="s">
        <v>50</v>
      </c>
      <c r="F3" s="2" t="s">
        <v>50</v>
      </c>
      <c r="G3" s="2" t="s">
        <v>50</v>
      </c>
    </row>
    <row r="4" customFormat="false" ht="15" hidden="false" customHeight="false" outlineLevel="0" collapsed="false">
      <c r="A4" s="2" t="s">
        <v>55</v>
      </c>
      <c r="B4" s="2" t="s">
        <v>50</v>
      </c>
      <c r="C4" s="2" t="s">
        <v>50</v>
      </c>
      <c r="D4" s="2" t="s">
        <v>54</v>
      </c>
      <c r="E4" s="2" t="s">
        <v>52</v>
      </c>
      <c r="F4" s="2" t="s">
        <v>50</v>
      </c>
      <c r="G4" s="2" t="s">
        <v>50</v>
      </c>
    </row>
    <row r="5" customFormat="false" ht="15" hidden="false" customHeight="false" outlineLevel="0" collapsed="false">
      <c r="A5" s="2" t="s">
        <v>56</v>
      </c>
      <c r="B5" s="2" t="s">
        <v>50</v>
      </c>
      <c r="C5" s="2" t="s">
        <v>50</v>
      </c>
      <c r="D5" s="2" t="s">
        <v>54</v>
      </c>
      <c r="E5" s="2" t="s">
        <v>54</v>
      </c>
      <c r="F5" s="2" t="s">
        <v>52</v>
      </c>
      <c r="G5" s="2" t="s">
        <v>50</v>
      </c>
    </row>
    <row r="6" customFormat="false" ht="15" hidden="false" customHeight="false" outlineLevel="0" collapsed="false">
      <c r="A6" s="2" t="s">
        <v>57</v>
      </c>
      <c r="B6" s="2" t="s">
        <v>58</v>
      </c>
      <c r="C6" s="2" t="s">
        <v>51</v>
      </c>
      <c r="D6" s="2" t="s">
        <v>51</v>
      </c>
      <c r="E6" s="2" t="s">
        <v>51</v>
      </c>
      <c r="F6" s="2" t="s">
        <v>51</v>
      </c>
      <c r="G6" s="2" t="s">
        <v>50</v>
      </c>
    </row>
    <row r="7" customFormat="false" ht="15" hidden="false" customHeight="false" outlineLevel="0" collapsed="false">
      <c r="A7" s="2" t="s">
        <v>59</v>
      </c>
      <c r="B7" s="2" t="s">
        <v>52</v>
      </c>
      <c r="C7" s="2" t="s">
        <v>54</v>
      </c>
      <c r="D7" s="2" t="s">
        <v>54</v>
      </c>
      <c r="E7" s="2" t="s">
        <v>54</v>
      </c>
      <c r="F7" s="2" t="s">
        <v>54</v>
      </c>
      <c r="G7" s="2" t="s">
        <v>50</v>
      </c>
    </row>
    <row r="9" customFormat="false" ht="15" hidden="false" customHeight="false" outlineLevel="0" collapsed="false">
      <c r="A9" s="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56"/>
  </cols>
  <sheetData>
    <row r="1" customFormat="false" ht="24" hidden="false" customHeight="true" outlineLevel="0" collapsed="false">
      <c r="A1" s="1" t="s">
        <v>61</v>
      </c>
      <c r="B1" s="1" t="s">
        <v>62</v>
      </c>
      <c r="C1" s="1" t="s">
        <v>63</v>
      </c>
      <c r="D1" s="1" t="s">
        <v>6</v>
      </c>
      <c r="E1" s="1" t="s">
        <v>64</v>
      </c>
      <c r="F1" s="1" t="s">
        <v>65</v>
      </c>
    </row>
    <row r="2" customFormat="false" ht="15" hidden="false" customHeight="false" outlineLevel="0" collapsed="false">
      <c r="A2" s="2" t="s">
        <v>66</v>
      </c>
      <c r="B2" s="2" t="s">
        <v>67</v>
      </c>
      <c r="C2" s="2" t="s">
        <v>9</v>
      </c>
      <c r="D2" s="2" t="s">
        <v>19</v>
      </c>
      <c r="E2" s="2" t="s">
        <v>68</v>
      </c>
      <c r="F2" s="2" t="s">
        <v>69</v>
      </c>
    </row>
    <row r="3" customFormat="false" ht="15" hidden="false" customHeight="false" outlineLevel="0" collapsed="false">
      <c r="A3" s="2" t="s">
        <v>70</v>
      </c>
      <c r="B3" s="2" t="s">
        <v>71</v>
      </c>
      <c r="C3" s="2" t="s">
        <v>9</v>
      </c>
      <c r="D3" s="2" t="s">
        <v>11</v>
      </c>
      <c r="E3" s="2" t="s">
        <v>68</v>
      </c>
      <c r="F3" s="2" t="s">
        <v>72</v>
      </c>
    </row>
    <row r="4" customFormat="false" ht="15" hidden="false" customHeight="false" outlineLevel="0" collapsed="false">
      <c r="A4" s="2" t="s">
        <v>73</v>
      </c>
      <c r="B4" s="2" t="s">
        <v>74</v>
      </c>
      <c r="C4" s="2" t="s">
        <v>9</v>
      </c>
      <c r="D4" s="2" t="s">
        <v>11</v>
      </c>
      <c r="E4" s="2" t="s">
        <v>68</v>
      </c>
      <c r="F4" s="2" t="s">
        <v>75</v>
      </c>
    </row>
    <row r="5" customFormat="false" ht="15" hidden="false" customHeight="false" outlineLevel="0" collapsed="false">
      <c r="A5" s="2" t="s">
        <v>76</v>
      </c>
      <c r="B5" s="2" t="s">
        <v>77</v>
      </c>
      <c r="C5" s="2" t="s">
        <v>14</v>
      </c>
      <c r="D5" s="2" t="s">
        <v>26</v>
      </c>
      <c r="E5" s="2" t="s">
        <v>78</v>
      </c>
      <c r="F5" s="2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18"/>
  </cols>
  <sheetData>
    <row r="1" customFormat="false" ht="24" hidden="false" customHeight="true" outlineLevel="0" collapsed="false">
      <c r="A1" s="1" t="s">
        <v>80</v>
      </c>
      <c r="B1" s="1" t="s">
        <v>81</v>
      </c>
      <c r="C1" s="1" t="s">
        <v>6</v>
      </c>
      <c r="D1" s="1" t="s">
        <v>82</v>
      </c>
    </row>
    <row r="2" customFormat="false" ht="15" hidden="false" customHeight="false" outlineLevel="0" collapsed="false">
      <c r="A2" s="2" t="s">
        <v>83</v>
      </c>
      <c r="B2" s="2" t="s">
        <v>84</v>
      </c>
      <c r="C2" s="2" t="s">
        <v>19</v>
      </c>
      <c r="D2" s="2" t="s">
        <v>85</v>
      </c>
    </row>
    <row r="3" customFormat="false" ht="15" hidden="false" customHeight="false" outlineLevel="0" collapsed="false">
      <c r="A3" s="2" t="s">
        <v>86</v>
      </c>
      <c r="B3" s="2" t="s">
        <v>87</v>
      </c>
      <c r="C3" s="2" t="s">
        <v>46</v>
      </c>
      <c r="D3" s="2" t="s">
        <v>85</v>
      </c>
    </row>
    <row r="4" customFormat="false" ht="15" hidden="false" customHeight="false" outlineLevel="0" collapsed="false">
      <c r="A4" s="2" t="s">
        <v>88</v>
      </c>
      <c r="B4" s="2" t="s">
        <v>89</v>
      </c>
      <c r="C4" s="2" t="s">
        <v>19</v>
      </c>
      <c r="D4" s="2" t="s">
        <v>90</v>
      </c>
    </row>
    <row r="5" customFormat="false" ht="15" hidden="false" customHeight="false" outlineLevel="0" collapsed="false">
      <c r="A5" s="2" t="s">
        <v>91</v>
      </c>
      <c r="B5" s="2" t="s">
        <v>92</v>
      </c>
      <c r="C5" s="2" t="s">
        <v>46</v>
      </c>
      <c r="D5" s="2" t="s">
        <v>85</v>
      </c>
    </row>
    <row r="6" customFormat="false" ht="15" hidden="false" customHeight="false" outlineLevel="0" collapsed="false">
      <c r="A6" s="2" t="s">
        <v>93</v>
      </c>
      <c r="B6" s="2" t="s">
        <v>94</v>
      </c>
      <c r="C6" s="2" t="s">
        <v>19</v>
      </c>
      <c r="D6" s="2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5" min="4" style="0" width="14"/>
  </cols>
  <sheetData>
    <row r="1" customFormat="false" ht="24" hidden="false" customHeight="true" outlineLevel="0" collapsed="false">
      <c r="A1" s="1" t="s">
        <v>80</v>
      </c>
      <c r="B1" s="1" t="s">
        <v>95</v>
      </c>
      <c r="C1" s="1" t="s">
        <v>96</v>
      </c>
      <c r="D1" s="1" t="s">
        <v>97</v>
      </c>
      <c r="E1" s="1" t="s">
        <v>64</v>
      </c>
    </row>
    <row r="2" customFormat="false" ht="15" hidden="false" customHeight="false" outlineLevel="0" collapsed="false">
      <c r="A2" s="2" t="s">
        <v>98</v>
      </c>
      <c r="B2" s="2" t="s">
        <v>99</v>
      </c>
      <c r="C2" s="2" t="s">
        <v>100</v>
      </c>
      <c r="D2" s="2" t="s">
        <v>101</v>
      </c>
      <c r="E2" s="2" t="s">
        <v>102</v>
      </c>
    </row>
    <row r="3" customFormat="false" ht="15" hidden="false" customHeight="false" outlineLevel="0" collapsed="false">
      <c r="A3" s="2" t="s">
        <v>103</v>
      </c>
      <c r="B3" s="2" t="s">
        <v>104</v>
      </c>
      <c r="C3" s="2" t="s">
        <v>100</v>
      </c>
      <c r="D3" s="2" t="s">
        <v>105</v>
      </c>
      <c r="E3" s="2" t="s">
        <v>102</v>
      </c>
    </row>
    <row r="4" customFormat="false" ht="15" hidden="false" customHeight="false" outlineLevel="0" collapsed="false">
      <c r="A4" s="2" t="s">
        <v>106</v>
      </c>
      <c r="B4" s="2" t="s">
        <v>107</v>
      </c>
      <c r="C4" s="2" t="s">
        <v>105</v>
      </c>
      <c r="D4" s="2" t="s">
        <v>108</v>
      </c>
      <c r="E4" s="2" t="s">
        <v>102</v>
      </c>
    </row>
    <row r="5" customFormat="false" ht="15" hidden="false" customHeight="false" outlineLevel="0" collapsed="false">
      <c r="A5" s="2" t="s">
        <v>109</v>
      </c>
      <c r="B5" s="2" t="s">
        <v>110</v>
      </c>
      <c r="C5" s="2" t="s">
        <v>11</v>
      </c>
      <c r="D5" s="2" t="s">
        <v>48</v>
      </c>
      <c r="E5" s="2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24" hidden="false" customHeight="true" outlineLevel="0" collapsed="false">
      <c r="A1" s="1" t="s">
        <v>111</v>
      </c>
      <c r="B1" s="1" t="s">
        <v>62</v>
      </c>
      <c r="C1" s="1" t="s">
        <v>112</v>
      </c>
      <c r="D1" s="1" t="s">
        <v>113</v>
      </c>
      <c r="E1" s="1" t="s">
        <v>64</v>
      </c>
    </row>
    <row r="2" customFormat="false" ht="15" hidden="false" customHeight="false" outlineLevel="0" collapsed="false">
      <c r="A2" s="2" t="s">
        <v>114</v>
      </c>
      <c r="B2" s="2" t="s">
        <v>115</v>
      </c>
      <c r="C2" s="2" t="s">
        <v>11</v>
      </c>
      <c r="D2" s="2" t="s">
        <v>48</v>
      </c>
      <c r="E2" s="2" t="s">
        <v>116</v>
      </c>
    </row>
    <row r="3" customFormat="false" ht="15" hidden="false" customHeight="false" outlineLevel="0" collapsed="false">
      <c r="A3" s="2" t="s">
        <v>117</v>
      </c>
      <c r="B3" s="2" t="s">
        <v>118</v>
      </c>
      <c r="C3" s="2" t="s">
        <v>11</v>
      </c>
      <c r="D3" s="2" t="s">
        <v>48</v>
      </c>
      <c r="E3" s="2" t="s">
        <v>116</v>
      </c>
    </row>
    <row r="4" customFormat="false" ht="15" hidden="false" customHeight="false" outlineLevel="0" collapsed="false">
      <c r="A4" s="2" t="s">
        <v>119</v>
      </c>
      <c r="B4" s="2" t="s">
        <v>120</v>
      </c>
      <c r="C4" s="2" t="s">
        <v>11</v>
      </c>
      <c r="D4" s="2" t="s">
        <v>48</v>
      </c>
      <c r="E4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4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24" hidden="false" customHeight="true" outlineLevel="0" collapsed="false">
      <c r="A1" s="1" t="s">
        <v>121</v>
      </c>
      <c r="B1" s="1" t="s">
        <v>122</v>
      </c>
      <c r="C1" s="1" t="s">
        <v>63</v>
      </c>
      <c r="D1" s="1" t="s">
        <v>123</v>
      </c>
      <c r="E1" s="1" t="s">
        <v>64</v>
      </c>
    </row>
    <row r="2" customFormat="false" ht="15" hidden="false" customHeight="false" outlineLevel="0" collapsed="false">
      <c r="A2" s="2" t="s">
        <v>124</v>
      </c>
      <c r="B2" s="2" t="s">
        <v>125</v>
      </c>
      <c r="C2" s="2" t="s">
        <v>9</v>
      </c>
      <c r="D2" s="2" t="n">
        <v>1</v>
      </c>
      <c r="E2" s="2" t="s">
        <v>126</v>
      </c>
    </row>
    <row r="3" customFormat="false" ht="15" hidden="false" customHeight="false" outlineLevel="0" collapsed="false">
      <c r="A3" s="2" t="s">
        <v>127</v>
      </c>
      <c r="B3" s="2" t="s">
        <v>128</v>
      </c>
      <c r="C3" s="2" t="s">
        <v>9</v>
      </c>
      <c r="D3" s="2" t="n">
        <v>2</v>
      </c>
      <c r="E3" s="2" t="s">
        <v>126</v>
      </c>
    </row>
    <row r="4" customFormat="false" ht="15" hidden="false" customHeight="false" outlineLevel="0" collapsed="false">
      <c r="A4" s="2" t="s">
        <v>129</v>
      </c>
      <c r="B4" s="2" t="s">
        <v>130</v>
      </c>
      <c r="C4" s="2" t="s">
        <v>9</v>
      </c>
      <c r="D4" s="2" t="n">
        <v>2</v>
      </c>
      <c r="E4" s="2" t="s">
        <v>126</v>
      </c>
    </row>
    <row r="5" customFormat="false" ht="15" hidden="false" customHeight="false" outlineLevel="0" collapsed="false">
      <c r="A5" s="2" t="s">
        <v>131</v>
      </c>
      <c r="B5" s="2" t="s">
        <v>132</v>
      </c>
      <c r="C5" s="2" t="s">
        <v>9</v>
      </c>
      <c r="D5" s="2" t="n">
        <v>3</v>
      </c>
      <c r="E5" s="2" t="s">
        <v>126</v>
      </c>
    </row>
    <row r="6" customFormat="false" ht="15" hidden="false" customHeight="false" outlineLevel="0" collapsed="false">
      <c r="A6" s="2" t="s">
        <v>133</v>
      </c>
      <c r="B6" s="2" t="s">
        <v>134</v>
      </c>
      <c r="C6" s="2" t="s">
        <v>14</v>
      </c>
      <c r="D6" s="2" t="n">
        <v>3</v>
      </c>
      <c r="E6" s="2" t="s">
        <v>126</v>
      </c>
    </row>
    <row r="7" customFormat="false" ht="15" hidden="false" customHeight="false" outlineLevel="0" collapsed="false">
      <c r="A7" s="2" t="s">
        <v>135</v>
      </c>
      <c r="B7" s="2" t="s">
        <v>136</v>
      </c>
      <c r="C7" s="2" t="s">
        <v>9</v>
      </c>
      <c r="D7" s="2" t="n">
        <v>3</v>
      </c>
      <c r="E7" s="2" t="s">
        <v>126</v>
      </c>
    </row>
    <row r="8" customFormat="false" ht="23.85" hidden="false" customHeight="false" outlineLevel="0" collapsed="false">
      <c r="A8" s="2" t="s">
        <v>137</v>
      </c>
      <c r="B8" s="2" t="s">
        <v>138</v>
      </c>
      <c r="C8" s="2" t="s">
        <v>14</v>
      </c>
      <c r="D8" s="2" t="n">
        <v>3</v>
      </c>
      <c r="E8" s="2" t="s">
        <v>126</v>
      </c>
    </row>
    <row r="9" customFormat="false" ht="15" hidden="false" customHeight="false" outlineLevel="0" collapsed="false">
      <c r="A9" s="2" t="s">
        <v>139</v>
      </c>
      <c r="B9" s="2" t="s">
        <v>140</v>
      </c>
      <c r="C9" s="2" t="s">
        <v>9</v>
      </c>
      <c r="D9" s="2" t="n">
        <v>4</v>
      </c>
      <c r="E9" s="2" t="s">
        <v>126</v>
      </c>
    </row>
    <row r="11" customFormat="false" ht="15" hidden="false" customHeight="false" outlineLevel="0" collapsed="false">
      <c r="A11" s="4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4" min="3" style="0" width="11"/>
    <col collapsed="false" customWidth="true" hidden="false" outlineLevel="0" max="5" min="5" style="0" width="62"/>
  </cols>
  <sheetData>
    <row r="1" customFormat="false" ht="24" hidden="false" customHeight="true" outlineLevel="0" collapsed="false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</row>
    <row r="2" customFormat="false" ht="15" hidden="false" customHeight="false" outlineLevel="0" collapsed="false">
      <c r="A2" s="2" t="s">
        <v>147</v>
      </c>
      <c r="B2" s="2" t="s">
        <v>148</v>
      </c>
      <c r="C2" s="2" t="s">
        <v>9</v>
      </c>
      <c r="D2" s="2" t="s">
        <v>9</v>
      </c>
      <c r="E2" s="2" t="s">
        <v>149</v>
      </c>
    </row>
    <row r="3" customFormat="false" ht="15" hidden="false" customHeight="false" outlineLevel="0" collapsed="false">
      <c r="A3" s="2" t="s">
        <v>150</v>
      </c>
      <c r="B3" s="2" t="s">
        <v>48</v>
      </c>
      <c r="C3" s="2" t="s">
        <v>9</v>
      </c>
      <c r="D3" s="2" t="s">
        <v>9</v>
      </c>
      <c r="E3" s="2" t="s">
        <v>151</v>
      </c>
    </row>
    <row r="4" customFormat="false" ht="15" hidden="false" customHeight="false" outlineLevel="0" collapsed="false">
      <c r="A4" s="2" t="s">
        <v>19</v>
      </c>
      <c r="B4" s="2" t="s">
        <v>152</v>
      </c>
      <c r="C4" s="2" t="s">
        <v>9</v>
      </c>
      <c r="D4" s="2" t="s">
        <v>14</v>
      </c>
      <c r="E4" s="2" t="s">
        <v>153</v>
      </c>
    </row>
    <row r="5" customFormat="false" ht="15" hidden="false" customHeight="false" outlineLevel="0" collapsed="false">
      <c r="A5" s="2" t="s">
        <v>46</v>
      </c>
      <c r="B5" s="2" t="s">
        <v>154</v>
      </c>
      <c r="C5" s="2" t="s">
        <v>9</v>
      </c>
      <c r="D5" s="2" t="s">
        <v>14</v>
      </c>
      <c r="E5" s="2" t="s">
        <v>153</v>
      </c>
    </row>
    <row r="6" customFormat="false" ht="15" hidden="false" customHeight="false" outlineLevel="0" collapsed="false">
      <c r="A6" s="2" t="s">
        <v>26</v>
      </c>
      <c r="B6" s="2" t="s">
        <v>155</v>
      </c>
      <c r="C6" s="2" t="s">
        <v>9</v>
      </c>
      <c r="D6" s="2" t="s">
        <v>14</v>
      </c>
      <c r="E6" s="2" t="s">
        <v>153</v>
      </c>
    </row>
    <row r="7" customFormat="false" ht="15" hidden="false" customHeight="false" outlineLevel="0" collapsed="false">
      <c r="A7" s="2" t="s">
        <v>47</v>
      </c>
      <c r="B7" s="2" t="s">
        <v>156</v>
      </c>
      <c r="C7" s="2" t="s">
        <v>9</v>
      </c>
      <c r="D7" s="2" t="s">
        <v>14</v>
      </c>
      <c r="E7" s="2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2"/>
    <col collapsed="false" customWidth="true" hidden="false" outlineLevel="0" max="6" min="4" style="0" width="24"/>
  </cols>
  <sheetData>
    <row r="1" customFormat="false" ht="24" hidden="false" customHeight="true" outlineLevel="0" collapsed="false">
      <c r="A1" s="1" t="s">
        <v>157</v>
      </c>
      <c r="B1" s="1" t="s">
        <v>143</v>
      </c>
      <c r="C1" s="1" t="s">
        <v>158</v>
      </c>
      <c r="D1" s="1" t="s">
        <v>159</v>
      </c>
      <c r="E1" s="1" t="s">
        <v>160</v>
      </c>
      <c r="F1" s="1" t="s">
        <v>161</v>
      </c>
    </row>
    <row r="2" customFormat="false" ht="15" hidden="false" customHeight="false" outlineLevel="0" collapsed="false">
      <c r="A2" s="2" t="s">
        <v>162</v>
      </c>
      <c r="B2" s="2" t="s">
        <v>163</v>
      </c>
      <c r="C2" s="2" t="s">
        <v>164</v>
      </c>
      <c r="D2" s="2" t="s">
        <v>164</v>
      </c>
      <c r="E2" s="2" t="s">
        <v>164</v>
      </c>
      <c r="F2" s="2" t="s">
        <v>164</v>
      </c>
    </row>
    <row r="3" customFormat="false" ht="15" hidden="false" customHeight="false" outlineLevel="0" collapsed="false">
      <c r="A3" s="2" t="s">
        <v>165</v>
      </c>
      <c r="B3" s="2" t="s">
        <v>166</v>
      </c>
      <c r="C3" s="2" t="s">
        <v>164</v>
      </c>
      <c r="D3" s="2" t="s">
        <v>164</v>
      </c>
      <c r="E3" s="2" t="s">
        <v>164</v>
      </c>
      <c r="F3" s="2" t="s">
        <v>164</v>
      </c>
    </row>
    <row r="4" customFormat="false" ht="15" hidden="false" customHeight="false" outlineLevel="0" collapsed="false">
      <c r="A4" s="2" t="s">
        <v>167</v>
      </c>
      <c r="B4" s="2" t="s">
        <v>168</v>
      </c>
      <c r="C4" s="2" t="s">
        <v>164</v>
      </c>
      <c r="D4" s="2" t="s">
        <v>164</v>
      </c>
      <c r="E4" s="2" t="s">
        <v>164</v>
      </c>
      <c r="F4" s="2" t="s">
        <v>164</v>
      </c>
    </row>
    <row r="5" customFormat="false" ht="15" hidden="false" customHeight="false" outlineLevel="0" collapsed="false">
      <c r="A5" s="2" t="s">
        <v>169</v>
      </c>
      <c r="B5" s="2" t="s">
        <v>170</v>
      </c>
      <c r="C5" s="2" t="s">
        <v>164</v>
      </c>
      <c r="D5" s="2" t="s">
        <v>164</v>
      </c>
      <c r="E5" s="2" t="s">
        <v>164</v>
      </c>
      <c r="F5" s="2" t="s">
        <v>164</v>
      </c>
    </row>
    <row r="6" customFormat="false" ht="15" hidden="false" customHeight="false" outlineLevel="0" collapsed="false">
      <c r="A6" s="2" t="s">
        <v>171</v>
      </c>
      <c r="B6" s="2" t="s">
        <v>47</v>
      </c>
      <c r="C6" s="2" t="s">
        <v>172</v>
      </c>
      <c r="D6" s="2" t="s">
        <v>173</v>
      </c>
      <c r="E6" s="2" t="s">
        <v>164</v>
      </c>
      <c r="F6" s="2" t="s">
        <v>164</v>
      </c>
    </row>
    <row r="8" customFormat="false" ht="15" hidden="false" customHeight="false" outlineLevel="0" collapsed="false">
      <c r="A8" s="4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24" hidden="false" customHeight="true" outlineLevel="0" collapsed="false">
      <c r="A1" s="1" t="s">
        <v>175</v>
      </c>
      <c r="B1" s="1" t="s">
        <v>176</v>
      </c>
    </row>
    <row r="2" customFormat="false" ht="15" hidden="false" customHeight="false" outlineLevel="0" collapsed="false">
      <c r="A2" s="2" t="s">
        <v>177</v>
      </c>
      <c r="B2" s="2" t="s">
        <v>178</v>
      </c>
    </row>
    <row r="3" customFormat="false" ht="15" hidden="false" customHeight="false" outlineLevel="0" collapsed="false">
      <c r="A3" s="2" t="s">
        <v>179</v>
      </c>
      <c r="B3" s="2" t="s">
        <v>180</v>
      </c>
    </row>
    <row r="4" customFormat="false" ht="15" hidden="false" customHeight="false" outlineLevel="0" collapsed="false">
      <c r="A4" s="2" t="s">
        <v>181</v>
      </c>
      <c r="B4" s="2" t="s">
        <v>182</v>
      </c>
    </row>
    <row r="5" customFormat="false" ht="15" hidden="false" customHeight="false" outlineLevel="0" collapsed="false">
      <c r="A5" s="2" t="s">
        <v>183</v>
      </c>
      <c r="B5" s="2" t="s">
        <v>184</v>
      </c>
    </row>
    <row r="6" customFormat="false" ht="15" hidden="false" customHeight="false" outlineLevel="0" collapsed="false">
      <c r="A6" s="2" t="s">
        <v>185</v>
      </c>
      <c r="B6" s="2" t="s">
        <v>186</v>
      </c>
    </row>
    <row r="7" customFormat="false" ht="23.85" hidden="false" customHeight="false" outlineLevel="0" collapsed="false">
      <c r="A7" s="2" t="s">
        <v>187</v>
      </c>
      <c r="B7" s="2" t="s">
        <v>188</v>
      </c>
    </row>
    <row r="8" customFormat="false" ht="15" hidden="false" customHeight="false" outlineLevel="0" collapsed="false">
      <c r="A8" s="2" t="s">
        <v>189</v>
      </c>
      <c r="B8" s="2" t="s">
        <v>116</v>
      </c>
    </row>
    <row r="9" customFormat="false" ht="15" hidden="false" customHeight="false" outlineLevel="0" collapsed="false">
      <c r="A9" s="2" t="s">
        <v>113</v>
      </c>
      <c r="B9" s="2" t="s">
        <v>190</v>
      </c>
    </row>
    <row r="10" customFormat="false" ht="15" hidden="false" customHeight="false" outlineLevel="0" collapsed="false">
      <c r="A10" s="2" t="s">
        <v>191</v>
      </c>
      <c r="B10" s="2" t="s">
        <v>180</v>
      </c>
    </row>
    <row r="12" customFormat="false" ht="15" hidden="false" customHeight="false" outlineLevel="0" collapsed="false">
      <c r="A12" s="4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3" min="3" style="0" width="26"/>
    <col collapsed="false" customWidth="true" hidden="false" outlineLevel="0" max="4" min="4" style="0" width="62"/>
    <col collapsed="false" customWidth="true" hidden="false" outlineLevel="0" max="5" min="5" style="0" width="12"/>
  </cols>
  <sheetData>
    <row r="1" customFormat="false" ht="24" hidden="false" customHeight="true" outlineLevel="0" collapsed="false">
      <c r="A1" s="1" t="s">
        <v>80</v>
      </c>
      <c r="B1" s="1" t="s">
        <v>193</v>
      </c>
      <c r="C1" s="1" t="s">
        <v>194</v>
      </c>
      <c r="D1" s="1" t="s">
        <v>195</v>
      </c>
      <c r="E1" s="1" t="s">
        <v>6</v>
      </c>
    </row>
    <row r="2" customFormat="false" ht="23.85" hidden="false" customHeight="false" outlineLevel="0" collapsed="false">
      <c r="A2" s="2" t="s">
        <v>196</v>
      </c>
      <c r="B2" s="2" t="s">
        <v>197</v>
      </c>
      <c r="C2" s="2" t="s">
        <v>198</v>
      </c>
      <c r="D2" s="2" t="s">
        <v>199</v>
      </c>
      <c r="E2" s="2" t="s">
        <v>11</v>
      </c>
    </row>
    <row r="3" customFormat="false" ht="23.85" hidden="false" customHeight="false" outlineLevel="0" collapsed="false">
      <c r="A3" s="2" t="s">
        <v>200</v>
      </c>
      <c r="B3" s="2" t="s">
        <v>201</v>
      </c>
      <c r="C3" s="2" t="s">
        <v>202</v>
      </c>
      <c r="D3" s="2" t="s">
        <v>203</v>
      </c>
      <c r="E3" s="2" t="s">
        <v>11</v>
      </c>
    </row>
    <row r="4" customFormat="false" ht="23.85" hidden="false" customHeight="false" outlineLevel="0" collapsed="false">
      <c r="A4" s="2" t="s">
        <v>204</v>
      </c>
      <c r="B4" s="2" t="s">
        <v>205</v>
      </c>
      <c r="C4" s="2" t="s">
        <v>206</v>
      </c>
      <c r="D4" s="2" t="s">
        <v>207</v>
      </c>
      <c r="E4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66"/>
    <col collapsed="false" customWidth="true" hidden="false" outlineLevel="0" max="5" min="5" style="0" width="26"/>
  </cols>
  <sheetData>
    <row r="1" customFormat="false" ht="24" hidden="false" customHeight="true" outlineLevel="0" collapsed="false">
      <c r="A1" s="1" t="s">
        <v>208</v>
      </c>
      <c r="B1" s="1" t="s">
        <v>209</v>
      </c>
      <c r="C1" s="1" t="s">
        <v>62</v>
      </c>
      <c r="D1" s="1" t="s">
        <v>210</v>
      </c>
      <c r="E1" s="1" t="s">
        <v>211</v>
      </c>
    </row>
    <row r="2" customFormat="false" ht="23.85" hidden="false" customHeight="false" outlineLevel="0" collapsed="false">
      <c r="A2" s="2" t="s">
        <v>212</v>
      </c>
      <c r="B2" s="2" t="s">
        <v>180</v>
      </c>
      <c r="C2" s="2" t="s">
        <v>213</v>
      </c>
      <c r="D2" s="2" t="s">
        <v>214</v>
      </c>
      <c r="E2" s="2" t="s">
        <v>215</v>
      </c>
    </row>
    <row r="3" customFormat="false" ht="23.85" hidden="false" customHeight="false" outlineLevel="0" collapsed="false">
      <c r="A3" s="2" t="s">
        <v>216</v>
      </c>
      <c r="B3" s="2" t="s">
        <v>180</v>
      </c>
      <c r="C3" s="2" t="s">
        <v>217</v>
      </c>
      <c r="D3" s="2" t="s">
        <v>218</v>
      </c>
      <c r="E3" s="2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2"/>
    <col collapsed="false" customWidth="true" hidden="false" outlineLevel="0" max="3" min="3" style="0" width="8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5" t="s">
        <v>220</v>
      </c>
    </row>
    <row r="2" customFormat="false" ht="15" hidden="false" customHeight="false" outlineLevel="0" collapsed="false">
      <c r="A2" s="1" t="s">
        <v>123</v>
      </c>
      <c r="B2" s="1" t="s">
        <v>221</v>
      </c>
      <c r="C2" s="1" t="s">
        <v>222</v>
      </c>
      <c r="D2" s="1" t="s">
        <v>64</v>
      </c>
    </row>
    <row r="3" customFormat="false" ht="15" hidden="false" customHeight="false" outlineLevel="0" collapsed="false">
      <c r="A3" s="2" t="s">
        <v>223</v>
      </c>
      <c r="B3" s="2" t="s">
        <v>224</v>
      </c>
      <c r="C3" s="2" t="s">
        <v>225</v>
      </c>
      <c r="D3" s="2" t="s">
        <v>126</v>
      </c>
    </row>
    <row r="4" customFormat="false" ht="15" hidden="false" customHeight="false" outlineLevel="0" collapsed="false">
      <c r="A4" s="2" t="s">
        <v>226</v>
      </c>
      <c r="B4" s="2" t="s">
        <v>227</v>
      </c>
      <c r="C4" s="2" t="s">
        <v>228</v>
      </c>
      <c r="D4" s="2" t="s">
        <v>126</v>
      </c>
    </row>
    <row r="5" customFormat="false" ht="15" hidden="false" customHeight="false" outlineLevel="0" collapsed="false">
      <c r="A5" s="2" t="s">
        <v>229</v>
      </c>
      <c r="B5" s="2" t="s">
        <v>230</v>
      </c>
      <c r="C5" s="2" t="s">
        <v>231</v>
      </c>
      <c r="D5" s="2" t="s">
        <v>126</v>
      </c>
    </row>
    <row r="6" customFormat="false" ht="15" hidden="false" customHeight="false" outlineLevel="0" collapsed="false">
      <c r="A6" s="2" t="s">
        <v>232</v>
      </c>
      <c r="B6" s="2" t="s">
        <v>233</v>
      </c>
      <c r="C6" s="2" t="s">
        <v>234</v>
      </c>
      <c r="D6" s="2" t="s">
        <v>126</v>
      </c>
    </row>
    <row r="9" customFormat="false" ht="15" hidden="false" customHeight="false" outlineLevel="0" collapsed="false">
      <c r="A9" s="5" t="s">
        <v>235</v>
      </c>
    </row>
    <row r="10" customFormat="false" ht="15" hidden="false" customHeight="false" outlineLevel="0" collapsed="false">
      <c r="A10" s="1" t="s">
        <v>236</v>
      </c>
      <c r="B10" s="1" t="s">
        <v>237</v>
      </c>
    </row>
    <row r="11" customFormat="false" ht="23.85" hidden="false" customHeight="false" outlineLevel="0" collapsed="false">
      <c r="A11" s="2" t="s">
        <v>238</v>
      </c>
      <c r="B11" s="2" t="s">
        <v>239</v>
      </c>
    </row>
    <row r="12" customFormat="false" ht="15" hidden="false" customHeight="false" outlineLevel="0" collapsed="false">
      <c r="A12" s="2" t="s">
        <v>240</v>
      </c>
      <c r="B12" s="2" t="s">
        <v>241</v>
      </c>
    </row>
    <row r="13" customFormat="false" ht="23.85" hidden="false" customHeight="false" outlineLevel="0" collapsed="false">
      <c r="A13" s="2" t="s">
        <v>242</v>
      </c>
      <c r="B13" s="2" t="s">
        <v>243</v>
      </c>
    </row>
    <row r="14" customFormat="false" ht="23.85" hidden="false" customHeight="false" outlineLevel="0" collapsed="false">
      <c r="A14" s="2" t="s">
        <v>244</v>
      </c>
      <c r="B14" s="2" t="s">
        <v>180</v>
      </c>
    </row>
    <row r="15" customFormat="false" ht="15" hidden="false" customHeight="false" outlineLevel="0" collapsed="false">
      <c r="A15" s="2" t="s">
        <v>245</v>
      </c>
      <c r="B15" s="2" t="s">
        <v>246</v>
      </c>
    </row>
    <row r="18" customFormat="false" ht="15" hidden="false" customHeight="false" outlineLevel="0" collapsed="false">
      <c r="A18" s="5" t="s">
        <v>247</v>
      </c>
    </row>
    <row r="19" customFormat="false" ht="15" hidden="false" customHeight="false" outlineLevel="0" collapsed="false">
      <c r="A19" s="1" t="s">
        <v>236</v>
      </c>
      <c r="B19" s="1" t="s">
        <v>237</v>
      </c>
    </row>
    <row r="20" customFormat="false" ht="23.85" hidden="false" customHeight="false" outlineLevel="0" collapsed="false">
      <c r="A20" s="2" t="s">
        <v>248</v>
      </c>
      <c r="B20" s="2" t="s">
        <v>249</v>
      </c>
    </row>
    <row r="21" customFormat="false" ht="23.85" hidden="false" customHeight="false" outlineLevel="0" collapsed="false">
      <c r="A21" s="2" t="s">
        <v>250</v>
      </c>
      <c r="B21" s="2" t="s">
        <v>251</v>
      </c>
    </row>
    <row r="22" customFormat="false" ht="23.85" hidden="false" customHeight="false" outlineLevel="0" collapsed="false">
      <c r="A22" s="2" t="s">
        <v>252</v>
      </c>
      <c r="B22" s="2" t="s">
        <v>253</v>
      </c>
    </row>
    <row r="23" customFormat="false" ht="23.85" hidden="false" customHeight="false" outlineLevel="0" collapsed="false">
      <c r="A23" s="2" t="s">
        <v>254</v>
      </c>
      <c r="B23" s="2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22"/>
    <col collapsed="false" customWidth="true" hidden="false" outlineLevel="0" max="3" min="3" style="0" width="62"/>
  </cols>
  <sheetData>
    <row r="1" customFormat="false" ht="15" hidden="false" customHeight="false" outlineLevel="0" collapsed="false">
      <c r="A1" s="5" t="s">
        <v>256</v>
      </c>
    </row>
    <row r="2" customFormat="false" ht="15" hidden="false" customHeight="false" outlineLevel="0" collapsed="false">
      <c r="A2" s="1" t="s">
        <v>257</v>
      </c>
      <c r="B2" s="1" t="s">
        <v>64</v>
      </c>
      <c r="C2" s="1" t="s">
        <v>258</v>
      </c>
    </row>
    <row r="3" customFormat="false" ht="15" hidden="false" customHeight="false" outlineLevel="0" collapsed="false">
      <c r="A3" s="2" t="s">
        <v>259</v>
      </c>
      <c r="B3" s="2" t="s">
        <v>126</v>
      </c>
      <c r="C3" s="2" t="s">
        <v>260</v>
      </c>
    </row>
    <row r="4" customFormat="false" ht="15" hidden="false" customHeight="false" outlineLevel="0" collapsed="false">
      <c r="A4" s="2" t="s">
        <v>261</v>
      </c>
      <c r="B4" s="2" t="s">
        <v>126</v>
      </c>
      <c r="C4" s="2" t="s">
        <v>262</v>
      </c>
    </row>
    <row r="5" customFormat="false" ht="15" hidden="false" customHeight="false" outlineLevel="0" collapsed="false">
      <c r="A5" s="2" t="s">
        <v>263</v>
      </c>
      <c r="B5" s="2" t="s">
        <v>264</v>
      </c>
      <c r="C5" s="2" t="s">
        <v>265</v>
      </c>
    </row>
    <row r="6" customFormat="false" ht="15" hidden="false" customHeight="false" outlineLevel="0" collapsed="false">
      <c r="A6" s="2" t="s">
        <v>266</v>
      </c>
      <c r="B6" s="2" t="s">
        <v>126</v>
      </c>
      <c r="C6" s="2" t="s">
        <v>267</v>
      </c>
    </row>
    <row r="7" customFormat="false" ht="15" hidden="false" customHeight="false" outlineLevel="0" collapsed="false">
      <c r="A7" s="2" t="s">
        <v>268</v>
      </c>
      <c r="B7" s="2" t="s">
        <v>90</v>
      </c>
      <c r="C7" s="2" t="s">
        <v>269</v>
      </c>
    </row>
    <row r="10" customFormat="false" ht="15" hidden="false" customHeight="false" outlineLevel="0" collapsed="false">
      <c r="A10" s="5" t="s">
        <v>270</v>
      </c>
    </row>
    <row r="11" customFormat="false" ht="15" hidden="false" customHeight="false" outlineLevel="0" collapsed="false">
      <c r="A11" s="1" t="s">
        <v>44</v>
      </c>
      <c r="B11" s="1" t="s">
        <v>64</v>
      </c>
    </row>
    <row r="12" customFormat="false" ht="15" hidden="false" customHeight="false" outlineLevel="0" collapsed="false">
      <c r="A12" s="2" t="s">
        <v>271</v>
      </c>
      <c r="B12" s="2" t="s">
        <v>126</v>
      </c>
    </row>
    <row r="13" customFormat="false" ht="15" hidden="false" customHeight="false" outlineLevel="0" collapsed="false">
      <c r="A13" s="2" t="s">
        <v>272</v>
      </c>
      <c r="B13" s="2" t="s">
        <v>126</v>
      </c>
    </row>
    <row r="14" customFormat="false" ht="15" hidden="false" customHeight="false" outlineLevel="0" collapsed="false">
      <c r="A14" s="2" t="s">
        <v>273</v>
      </c>
      <c r="B14" s="2" t="s">
        <v>274</v>
      </c>
    </row>
    <row r="15" customFormat="false" ht="15" hidden="false" customHeight="false" outlineLevel="0" collapsed="false">
      <c r="A15" s="2" t="s">
        <v>275</v>
      </c>
      <c r="B15" s="2" t="s">
        <v>276</v>
      </c>
    </row>
    <row r="16" customFormat="false" ht="15" hidden="false" customHeight="false" outlineLevel="0" collapsed="false">
      <c r="A16" s="2" t="s">
        <v>277</v>
      </c>
      <c r="B16" s="2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2026-10-18T17:53:21Z</dcterms:created>
  <dc:creator>openpyxl</dc:creator>
  <dc:description/>
  <dc:language>en-US</dc:language>
  <cp:lastModifiedBy/>
  <dcterms:modified xsi:type="dcterms:W3CDTF">2026-10-18T17:53:21Z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